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Untuk Audit 2025\03. Leasing\"/>
    </mc:Choice>
  </mc:AlternateContent>
  <xr:revisionPtr revIDLastSave="0" documentId="13_ncr:1_{F0283603-A988-46FB-8FB8-FB6C5AA1865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amry" sheetId="2" r:id="rId1"/>
    <sheet name="Zen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3" l="1"/>
  <c r="C33" i="3"/>
  <c r="H32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33" i="3" s="1"/>
  <c r="E9" i="3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G45" i="2"/>
  <c r="E45" i="2"/>
  <c r="C45" i="2"/>
  <c r="G44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G12" i="2"/>
  <c r="D12" i="2"/>
  <c r="D11" i="2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D10" i="2"/>
  <c r="F9" i="2"/>
  <c r="E9" i="2"/>
  <c r="D45" i="2" l="1"/>
  <c r="G46" i="2"/>
  <c r="E33" i="3"/>
</calcChain>
</file>

<file path=xl/sharedStrings.xml><?xml version="1.0" encoding="utf-8"?>
<sst xmlns="http://schemas.openxmlformats.org/spreadsheetml/2006/main" count="30" uniqueCount="19">
  <si>
    <t>Nama</t>
  </si>
  <si>
    <t>: Mobil Toyota New Camry 2.5 V A/T Hitam</t>
  </si>
  <si>
    <t>Periode Leasing</t>
  </si>
  <si>
    <t>: 36 Bulan (15 September 2022 s/d 15 September 2025)</t>
  </si>
  <si>
    <t>Jatuh Tempo Angsuran</t>
  </si>
  <si>
    <t>: Tgl 28 Setiap Bulannya</t>
  </si>
  <si>
    <t>Tgl Terima Mobil</t>
  </si>
  <si>
    <t>: 27 September 2022</t>
  </si>
  <si>
    <t>Angsuran Ke-</t>
  </si>
  <si>
    <t>Tgl Byr Angsuran</t>
  </si>
  <si>
    <t>Nilai</t>
  </si>
  <si>
    <t>Sisa Angsuran</t>
  </si>
  <si>
    <t>Angsuran</t>
  </si>
  <si>
    <t>Bunga</t>
  </si>
  <si>
    <t>Pokok</t>
  </si>
  <si>
    <t>: Mobil Zenix</t>
  </si>
  <si>
    <t>: 24 Bulan</t>
  </si>
  <si>
    <t>:</t>
  </si>
  <si>
    <t>: 7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</si>
</sst>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30">
    <xf numFmtId="0" fontId="0" fillId="0" borderId="0" xfId="0"/>
    <xf numFmtId="0" fontId="2" fillId="0" borderId="0" xfId="1" applyFont="1" applyAlignment="1"/>
    <xf numFmtId="43" fontId="3" fillId="0" borderId="0" xfId="1" applyNumberFormat="1" applyFont="1" applyAlignment="1"/>
    <xf numFmtId="0" fontId="3" fillId="0" borderId="0" xfId="1" applyFont="1" applyAlignment="1"/>
    <xf numFmtId="43" fontId="2" fillId="0" borderId="7" xfId="1" applyNumberFormat="1" applyFont="1" applyBorder="1" applyAlignment="1">
      <alignment horizontal="center"/>
    </xf>
    <xf numFmtId="0" fontId="3" fillId="0" borderId="9" xfId="1" applyFont="1" applyBorder="1" applyAlignment="1"/>
    <xf numFmtId="0" fontId="3" fillId="0" borderId="10" xfId="1" applyFont="1" applyBorder="1" applyAlignment="1"/>
    <xf numFmtId="43" fontId="3" fillId="0" borderId="10" xfId="1" applyNumberFormat="1" applyFont="1" applyBorder="1" applyAlignment="1"/>
    <xf numFmtId="43" fontId="3" fillId="0" borderId="11" xfId="1" applyNumberFormat="1" applyFont="1" applyBorder="1" applyAlignment="1"/>
    <xf numFmtId="0" fontId="3" fillId="0" borderId="12" xfId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/>
    </xf>
    <xf numFmtId="43" fontId="3" fillId="0" borderId="13" xfId="1" applyNumberFormat="1" applyFont="1" applyBorder="1" applyAlignment="1"/>
    <xf numFmtId="43" fontId="3" fillId="0" borderId="14" xfId="1" applyNumberFormat="1" applyFont="1" applyBorder="1" applyAlignment="1"/>
    <xf numFmtId="165" fontId="3" fillId="0" borderId="0" xfId="1" applyNumberFormat="1" applyFont="1" applyAlignment="1"/>
    <xf numFmtId="43" fontId="3" fillId="2" borderId="13" xfId="1" applyNumberFormat="1" applyFont="1" applyFill="1" applyBorder="1" applyAlignment="1"/>
    <xf numFmtId="0" fontId="3" fillId="0" borderId="15" xfId="1" applyFont="1" applyBorder="1" applyAlignment="1">
      <alignment horizontal="center"/>
    </xf>
    <xf numFmtId="43" fontId="3" fillId="0" borderId="16" xfId="1" applyNumberFormat="1" applyFont="1" applyBorder="1" applyAlignment="1"/>
    <xf numFmtId="43" fontId="3" fillId="2" borderId="16" xfId="1" applyNumberFormat="1" applyFont="1" applyFill="1" applyBorder="1" applyAlignment="1"/>
    <xf numFmtId="43" fontId="3" fillId="0" borderId="17" xfId="1" applyNumberFormat="1" applyFont="1" applyBorder="1" applyAlignment="1"/>
    <xf numFmtId="0" fontId="3" fillId="0" borderId="18" xfId="1" applyFont="1" applyBorder="1" applyAlignment="1"/>
    <xf numFmtId="0" fontId="3" fillId="0" borderId="19" xfId="1" applyFont="1" applyBorder="1" applyAlignment="1"/>
    <xf numFmtId="43" fontId="2" fillId="0" borderId="19" xfId="1" applyNumberFormat="1" applyFont="1" applyBorder="1" applyAlignment="1"/>
    <xf numFmtId="43" fontId="2" fillId="0" borderId="20" xfId="1" applyNumberFormat="1" applyFont="1" applyBorder="1" applyAlignment="1"/>
    <xf numFmtId="0" fontId="2" fillId="0" borderId="1" xfId="1" applyFont="1" applyBorder="1" applyAlignment="1">
      <alignment horizontal="center" vertical="top" wrapText="1"/>
    </xf>
    <xf numFmtId="0" fontId="2" fillId="0" borderId="5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43" fontId="2" fillId="0" borderId="3" xfId="1" applyNumberFormat="1" applyFont="1" applyBorder="1" applyAlignment="1">
      <alignment horizontal="center"/>
    </xf>
    <xf numFmtId="43" fontId="2" fillId="0" borderId="4" xfId="1" applyNumberFormat="1" applyFont="1" applyBorder="1" applyAlignment="1">
      <alignment horizontal="center" vertical="center"/>
    </xf>
    <xf numFmtId="43" fontId="2" fillId="0" borderId="8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8443EC87-FD67-40A1-9301-FDE5CC30C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6684-1323-452A-9A8A-A2A446C22714}">
  <sheetPr>
    <pageSetUpPr fitToPage="1"/>
  </sheetPr>
  <dimension ref="A1:H46"/>
  <sheetViews>
    <sheetView topLeftCell="A25" workbookViewId="0">
      <selection activeCell="C47" sqref="C47"/>
    </sheetView>
  </sheetViews>
  <sheetFormatPr defaultColWidth="9.140625" defaultRowHeight="12.75" x14ac:dyDescent="0.2"/>
  <cols>
    <col min="1" max="1" width="8.28515625" style="3" bestFit="1" customWidth="1"/>
    <col min="2" max="2" width="10.28515625" style="3" customWidth="1"/>
    <col min="3" max="3" width="14.5703125" style="2" bestFit="1" customWidth="1"/>
    <col min="4" max="4" width="13.5703125" style="2" bestFit="1" customWidth="1"/>
    <col min="5" max="5" width="14.5703125" style="2" bestFit="1" customWidth="1"/>
    <col min="6" max="6" width="16" style="2" bestFit="1" customWidth="1"/>
    <col min="7" max="9" width="14.5703125" style="2" bestFit="1" customWidth="1"/>
    <col min="10" max="16384" width="9.140625" style="2"/>
  </cols>
  <sheetData>
    <row r="1" spans="1:7" x14ac:dyDescent="0.2">
      <c r="A1" s="1" t="s">
        <v>0</v>
      </c>
      <c r="B1" s="1"/>
      <c r="C1" s="1" t="s">
        <v>1</v>
      </c>
    </row>
    <row r="2" spans="1:7" x14ac:dyDescent="0.2">
      <c r="A2" s="1" t="s">
        <v>2</v>
      </c>
      <c r="B2" s="1"/>
      <c r="C2" s="1" t="s">
        <v>3</v>
      </c>
    </row>
    <row r="3" spans="1:7" x14ac:dyDescent="0.2">
      <c r="A3" s="1" t="s">
        <v>4</v>
      </c>
      <c r="B3" s="1"/>
      <c r="C3" s="1" t="s">
        <v>5</v>
      </c>
    </row>
    <row r="4" spans="1:7" x14ac:dyDescent="0.2">
      <c r="A4" s="1" t="s">
        <v>6</v>
      </c>
      <c r="B4" s="1"/>
      <c r="C4" s="1" t="s">
        <v>7</v>
      </c>
    </row>
    <row r="5" spans="1:7" ht="13.5" thickBot="1" x14ac:dyDescent="0.25"/>
    <row r="6" spans="1:7" x14ac:dyDescent="0.2">
      <c r="A6" s="23" t="s">
        <v>8</v>
      </c>
      <c r="B6" s="25" t="s">
        <v>9</v>
      </c>
      <c r="C6" s="27" t="s">
        <v>10</v>
      </c>
      <c r="D6" s="27"/>
      <c r="E6" s="27"/>
      <c r="F6" s="28" t="s">
        <v>11</v>
      </c>
    </row>
    <row r="7" spans="1:7" ht="15.75" customHeight="1" thickBot="1" x14ac:dyDescent="0.25">
      <c r="A7" s="24"/>
      <c r="B7" s="26"/>
      <c r="C7" s="4" t="s">
        <v>12</v>
      </c>
      <c r="D7" s="4" t="s">
        <v>13</v>
      </c>
      <c r="E7" s="4" t="s">
        <v>14</v>
      </c>
      <c r="F7" s="29"/>
    </row>
    <row r="8" spans="1:7" x14ac:dyDescent="0.2">
      <c r="A8" s="5"/>
      <c r="B8" s="6"/>
      <c r="C8" s="7"/>
      <c r="D8" s="7"/>
      <c r="E8" s="7"/>
      <c r="F8" s="8">
        <v>521483825</v>
      </c>
    </row>
    <row r="9" spans="1:7" x14ac:dyDescent="0.2">
      <c r="A9" s="9">
        <v>1</v>
      </c>
      <c r="B9" s="10">
        <v>44819</v>
      </c>
      <c r="C9" s="11">
        <v>15994000</v>
      </c>
      <c r="D9" s="11">
        <v>0</v>
      </c>
      <c r="E9" s="11">
        <f>C9</f>
        <v>15994000</v>
      </c>
      <c r="F9" s="12">
        <f>F8-E9</f>
        <v>505489825</v>
      </c>
    </row>
    <row r="10" spans="1:7" x14ac:dyDescent="0.2">
      <c r="A10" s="9">
        <v>2</v>
      </c>
      <c r="B10" s="10">
        <v>44861</v>
      </c>
      <c r="C10" s="11">
        <v>15994000</v>
      </c>
      <c r="D10" s="11">
        <f>C10-E10</f>
        <v>2921345</v>
      </c>
      <c r="E10" s="11">
        <v>13072655</v>
      </c>
      <c r="F10" s="12">
        <f t="shared" ref="F10:F44" si="0">F9-E10</f>
        <v>492417170</v>
      </c>
    </row>
    <row r="11" spans="1:7" x14ac:dyDescent="0.2">
      <c r="A11" s="9">
        <v>3</v>
      </c>
      <c r="B11" s="10">
        <v>44895</v>
      </c>
      <c r="C11" s="11">
        <v>15994000</v>
      </c>
      <c r="D11" s="11">
        <f>C11-E11</f>
        <v>2845796</v>
      </c>
      <c r="E11" s="11">
        <v>13148204</v>
      </c>
      <c r="F11" s="12">
        <f t="shared" si="0"/>
        <v>479268966</v>
      </c>
    </row>
    <row r="12" spans="1:7" x14ac:dyDescent="0.2">
      <c r="A12" s="9">
        <v>4</v>
      </c>
      <c r="B12" s="10">
        <v>44917</v>
      </c>
      <c r="C12" s="11">
        <v>15994000</v>
      </c>
      <c r="D12" s="11">
        <f t="shared" ref="D12:D44" si="1">C12-E12</f>
        <v>2769808</v>
      </c>
      <c r="E12" s="11">
        <v>13224192</v>
      </c>
      <c r="F12" s="12">
        <f t="shared" si="0"/>
        <v>466044774</v>
      </c>
      <c r="G12" s="2">
        <f>C12+Zenix!C13</f>
        <v>31334000</v>
      </c>
    </row>
    <row r="13" spans="1:7" x14ac:dyDescent="0.2">
      <c r="A13" s="9">
        <v>5</v>
      </c>
      <c r="B13" s="10">
        <v>44950</v>
      </c>
      <c r="C13" s="11">
        <v>15994000</v>
      </c>
      <c r="D13" s="11">
        <f t="shared" si="1"/>
        <v>2693384</v>
      </c>
      <c r="E13" s="11">
        <v>13300616</v>
      </c>
      <c r="F13" s="12">
        <f t="shared" si="0"/>
        <v>452744158</v>
      </c>
    </row>
    <row r="14" spans="1:7" x14ac:dyDescent="0.2">
      <c r="A14" s="9">
        <v>6</v>
      </c>
      <c r="B14" s="10">
        <v>44981</v>
      </c>
      <c r="C14" s="11">
        <v>15994000</v>
      </c>
      <c r="D14" s="11">
        <f t="shared" si="1"/>
        <v>2616515</v>
      </c>
      <c r="E14" s="11">
        <v>13377485</v>
      </c>
      <c r="F14" s="12">
        <f t="shared" si="0"/>
        <v>439366673</v>
      </c>
    </row>
    <row r="15" spans="1:7" x14ac:dyDescent="0.2">
      <c r="A15" s="9">
        <v>7</v>
      </c>
      <c r="B15" s="10">
        <v>45009</v>
      </c>
      <c r="C15" s="11">
        <v>15994000</v>
      </c>
      <c r="D15" s="11">
        <f t="shared" si="1"/>
        <v>2539204</v>
      </c>
      <c r="E15" s="11">
        <v>13454796</v>
      </c>
      <c r="F15" s="12">
        <f t="shared" si="0"/>
        <v>425911877</v>
      </c>
    </row>
    <row r="16" spans="1:7" x14ac:dyDescent="0.2">
      <c r="A16" s="9">
        <v>8</v>
      </c>
      <c r="B16" s="10">
        <v>45050</v>
      </c>
      <c r="C16" s="11">
        <v>15994000</v>
      </c>
      <c r="D16" s="11">
        <f t="shared" si="1"/>
        <v>2461445</v>
      </c>
      <c r="E16" s="11">
        <v>13532555</v>
      </c>
      <c r="F16" s="12">
        <f t="shared" si="0"/>
        <v>412379322</v>
      </c>
    </row>
    <row r="17" spans="1:8" x14ac:dyDescent="0.2">
      <c r="A17" s="9">
        <v>9</v>
      </c>
      <c r="B17" s="10">
        <v>45063</v>
      </c>
      <c r="C17" s="11">
        <v>15994000</v>
      </c>
      <c r="D17" s="11">
        <f t="shared" si="1"/>
        <v>2383238</v>
      </c>
      <c r="E17" s="11">
        <v>13610762</v>
      </c>
      <c r="F17" s="12">
        <f t="shared" si="0"/>
        <v>398768560</v>
      </c>
    </row>
    <row r="18" spans="1:8" x14ac:dyDescent="0.2">
      <c r="A18" s="9">
        <v>10</v>
      </c>
      <c r="B18" s="10">
        <v>45093</v>
      </c>
      <c r="C18" s="11">
        <v>15994000</v>
      </c>
      <c r="D18" s="11">
        <f t="shared" si="1"/>
        <v>2304577</v>
      </c>
      <c r="E18" s="11">
        <v>13689423</v>
      </c>
      <c r="F18" s="12">
        <f t="shared" si="0"/>
        <v>385079137</v>
      </c>
    </row>
    <row r="19" spans="1:8" x14ac:dyDescent="0.2">
      <c r="A19" s="9">
        <v>11</v>
      </c>
      <c r="B19" s="10">
        <v>45124</v>
      </c>
      <c r="C19" s="11">
        <v>15994000</v>
      </c>
      <c r="D19" s="11">
        <f t="shared" si="1"/>
        <v>2225464</v>
      </c>
      <c r="E19" s="11">
        <v>13768536</v>
      </c>
      <c r="F19" s="12">
        <f t="shared" si="0"/>
        <v>371310601</v>
      </c>
    </row>
    <row r="20" spans="1:8" x14ac:dyDescent="0.2">
      <c r="A20" s="9">
        <v>12</v>
      </c>
      <c r="B20" s="10">
        <v>45159</v>
      </c>
      <c r="C20" s="11">
        <v>15994000</v>
      </c>
      <c r="D20" s="11">
        <f t="shared" si="1"/>
        <v>2145891</v>
      </c>
      <c r="E20" s="11">
        <v>13848109</v>
      </c>
      <c r="F20" s="12">
        <f t="shared" si="0"/>
        <v>357462492</v>
      </c>
    </row>
    <row r="21" spans="1:8" x14ac:dyDescent="0.2">
      <c r="A21" s="9">
        <v>13</v>
      </c>
      <c r="B21" s="10">
        <v>45184</v>
      </c>
      <c r="C21" s="11">
        <v>15994000</v>
      </c>
      <c r="D21" s="11">
        <f t="shared" si="1"/>
        <v>2065861</v>
      </c>
      <c r="E21" s="11">
        <v>13928139</v>
      </c>
      <c r="F21" s="12">
        <f t="shared" si="0"/>
        <v>343534353</v>
      </c>
    </row>
    <row r="22" spans="1:8" x14ac:dyDescent="0.2">
      <c r="A22" s="9">
        <v>14</v>
      </c>
      <c r="B22" s="10">
        <v>45209</v>
      </c>
      <c r="C22" s="11">
        <v>15994000</v>
      </c>
      <c r="D22" s="11">
        <f t="shared" si="1"/>
        <v>1985366</v>
      </c>
      <c r="E22" s="11">
        <v>14008634</v>
      </c>
      <c r="F22" s="12">
        <f t="shared" si="0"/>
        <v>329525719</v>
      </c>
    </row>
    <row r="23" spans="1:8" x14ac:dyDescent="0.2">
      <c r="A23" s="9">
        <v>15</v>
      </c>
      <c r="B23" s="10">
        <v>45246</v>
      </c>
      <c r="C23" s="11">
        <v>15994000</v>
      </c>
      <c r="D23" s="11">
        <f t="shared" si="1"/>
        <v>1904408</v>
      </c>
      <c r="E23" s="11">
        <v>14089592</v>
      </c>
      <c r="F23" s="12">
        <f t="shared" si="0"/>
        <v>315436127</v>
      </c>
    </row>
    <row r="24" spans="1:8" x14ac:dyDescent="0.2">
      <c r="A24" s="9">
        <v>16</v>
      </c>
      <c r="B24" s="10">
        <v>45268</v>
      </c>
      <c r="C24" s="11">
        <v>15994000</v>
      </c>
      <c r="D24" s="11">
        <f t="shared" si="1"/>
        <v>1822980</v>
      </c>
      <c r="E24" s="11">
        <v>14171020</v>
      </c>
      <c r="F24" s="12">
        <f t="shared" si="0"/>
        <v>301265107</v>
      </c>
      <c r="H24" s="13"/>
    </row>
    <row r="25" spans="1:8" x14ac:dyDescent="0.2">
      <c r="A25" s="9">
        <v>17</v>
      </c>
      <c r="B25" s="10">
        <v>45306</v>
      </c>
      <c r="C25" s="11">
        <v>15994000</v>
      </c>
      <c r="D25" s="11">
        <f t="shared" si="1"/>
        <v>1741083</v>
      </c>
      <c r="E25" s="11">
        <v>14252917</v>
      </c>
      <c r="F25" s="12">
        <f t="shared" si="0"/>
        <v>287012190</v>
      </c>
    </row>
    <row r="26" spans="1:8" x14ac:dyDescent="0.2">
      <c r="A26" s="9">
        <v>18</v>
      </c>
      <c r="B26" s="10">
        <v>45328</v>
      </c>
      <c r="C26" s="11">
        <v>15994000</v>
      </c>
      <c r="D26" s="11">
        <f t="shared" si="1"/>
        <v>1658711</v>
      </c>
      <c r="E26" s="11">
        <v>14335289</v>
      </c>
      <c r="F26" s="12">
        <f t="shared" si="0"/>
        <v>272676901</v>
      </c>
    </row>
    <row r="27" spans="1:8" x14ac:dyDescent="0.2">
      <c r="A27" s="9">
        <v>19</v>
      </c>
      <c r="B27" s="10">
        <v>45365</v>
      </c>
      <c r="C27" s="11">
        <v>15994000</v>
      </c>
      <c r="D27" s="11">
        <f t="shared" si="1"/>
        <v>1575865</v>
      </c>
      <c r="E27" s="11">
        <v>14418135</v>
      </c>
      <c r="F27" s="12">
        <f t="shared" si="0"/>
        <v>258258766</v>
      </c>
    </row>
    <row r="28" spans="1:8" x14ac:dyDescent="0.2">
      <c r="A28" s="9">
        <v>20</v>
      </c>
      <c r="B28" s="10">
        <v>45400</v>
      </c>
      <c r="C28" s="11">
        <v>15994000</v>
      </c>
      <c r="D28" s="11">
        <f t="shared" si="1"/>
        <v>1492538</v>
      </c>
      <c r="E28" s="11">
        <v>14501462</v>
      </c>
      <c r="F28" s="12">
        <f t="shared" si="0"/>
        <v>243757304</v>
      </c>
    </row>
    <row r="29" spans="1:8" x14ac:dyDescent="0.2">
      <c r="A29" s="9">
        <v>21</v>
      </c>
      <c r="B29" s="10">
        <v>45425</v>
      </c>
      <c r="C29" s="11">
        <v>15994000</v>
      </c>
      <c r="D29" s="11">
        <f t="shared" si="1"/>
        <v>1408732</v>
      </c>
      <c r="E29" s="11">
        <v>14585268</v>
      </c>
      <c r="F29" s="12">
        <f t="shared" si="0"/>
        <v>229172036</v>
      </c>
    </row>
    <row r="30" spans="1:8" x14ac:dyDescent="0.2">
      <c r="A30" s="9">
        <v>22</v>
      </c>
      <c r="B30" s="10">
        <v>45455</v>
      </c>
      <c r="C30" s="11">
        <v>15994000</v>
      </c>
      <c r="D30" s="11">
        <f t="shared" si="1"/>
        <v>1324439</v>
      </c>
      <c r="E30" s="11">
        <v>14669561</v>
      </c>
      <c r="F30" s="12">
        <f t="shared" si="0"/>
        <v>214502475</v>
      </c>
    </row>
    <row r="31" spans="1:8" x14ac:dyDescent="0.2">
      <c r="A31" s="9">
        <v>23</v>
      </c>
      <c r="B31" s="10">
        <v>45482</v>
      </c>
      <c r="C31" s="11">
        <v>15994000</v>
      </c>
      <c r="D31" s="11">
        <f t="shared" si="1"/>
        <v>1239661</v>
      </c>
      <c r="E31" s="11">
        <v>14754339</v>
      </c>
      <c r="F31" s="12">
        <f t="shared" si="0"/>
        <v>199748136</v>
      </c>
    </row>
    <row r="32" spans="1:8" x14ac:dyDescent="0.2">
      <c r="A32" s="9">
        <v>24</v>
      </c>
      <c r="B32" s="10">
        <v>45511</v>
      </c>
      <c r="C32" s="11">
        <v>15994000</v>
      </c>
      <c r="D32" s="11">
        <f t="shared" si="1"/>
        <v>1154391</v>
      </c>
      <c r="E32" s="11">
        <v>14839609</v>
      </c>
      <c r="F32" s="12">
        <f t="shared" si="0"/>
        <v>184908527</v>
      </c>
    </row>
    <row r="33" spans="1:7" x14ac:dyDescent="0.2">
      <c r="A33" s="9">
        <v>25</v>
      </c>
      <c r="B33" s="10">
        <v>45544</v>
      </c>
      <c r="C33" s="11">
        <v>15994000</v>
      </c>
      <c r="D33" s="11">
        <f t="shared" si="1"/>
        <v>1068631</v>
      </c>
      <c r="E33" s="11">
        <v>14925369</v>
      </c>
      <c r="F33" s="12">
        <f t="shared" si="0"/>
        <v>169983158</v>
      </c>
    </row>
    <row r="34" spans="1:7" x14ac:dyDescent="0.2">
      <c r="A34" s="9">
        <v>26</v>
      </c>
      <c r="B34" s="10">
        <v>45579</v>
      </c>
      <c r="C34" s="11">
        <v>15994000</v>
      </c>
      <c r="D34" s="11">
        <f t="shared" si="1"/>
        <v>982372</v>
      </c>
      <c r="E34" s="11">
        <v>15011628</v>
      </c>
      <c r="F34" s="12">
        <f t="shared" si="0"/>
        <v>154971530</v>
      </c>
    </row>
    <row r="35" spans="1:7" x14ac:dyDescent="0.2">
      <c r="A35" s="9">
        <v>27</v>
      </c>
      <c r="B35" s="10">
        <v>45604</v>
      </c>
      <c r="C35" s="11">
        <v>15994000</v>
      </c>
      <c r="D35" s="11">
        <f t="shared" si="1"/>
        <v>895618</v>
      </c>
      <c r="E35" s="11">
        <v>15098382</v>
      </c>
      <c r="F35" s="12">
        <f t="shared" si="0"/>
        <v>139873148</v>
      </c>
    </row>
    <row r="36" spans="1:7" x14ac:dyDescent="0.2">
      <c r="A36" s="9">
        <v>28</v>
      </c>
      <c r="B36" s="10">
        <v>45643</v>
      </c>
      <c r="C36" s="11">
        <v>15994000</v>
      </c>
      <c r="D36" s="11">
        <f t="shared" si="1"/>
        <v>808360</v>
      </c>
      <c r="E36" s="11">
        <v>15185640</v>
      </c>
      <c r="F36" s="12">
        <f t="shared" si="0"/>
        <v>124687508</v>
      </c>
    </row>
    <row r="37" spans="1:7" x14ac:dyDescent="0.2">
      <c r="A37" s="9">
        <v>29</v>
      </c>
      <c r="B37" s="10">
        <v>45673</v>
      </c>
      <c r="C37" s="11">
        <v>15994000</v>
      </c>
      <c r="D37" s="11">
        <f t="shared" si="1"/>
        <v>720599</v>
      </c>
      <c r="E37" s="14">
        <v>15273401</v>
      </c>
      <c r="F37" s="12">
        <f t="shared" si="0"/>
        <v>109414107</v>
      </c>
    </row>
    <row r="38" spans="1:7" x14ac:dyDescent="0.2">
      <c r="A38" s="9">
        <v>30</v>
      </c>
      <c r="B38" s="10">
        <v>45701</v>
      </c>
      <c r="C38" s="11">
        <v>15994000</v>
      </c>
      <c r="D38" s="11">
        <f t="shared" si="1"/>
        <v>632330</v>
      </c>
      <c r="E38" s="14">
        <v>15361670</v>
      </c>
      <c r="F38" s="12">
        <f t="shared" si="0"/>
        <v>94052437</v>
      </c>
    </row>
    <row r="39" spans="1:7" x14ac:dyDescent="0.2">
      <c r="A39" s="9">
        <v>31</v>
      </c>
      <c r="B39" s="10">
        <v>45729</v>
      </c>
      <c r="C39" s="11">
        <v>15994000</v>
      </c>
      <c r="D39" s="11">
        <f t="shared" si="1"/>
        <v>543552</v>
      </c>
      <c r="E39" s="14">
        <v>15450448</v>
      </c>
      <c r="F39" s="12">
        <f t="shared" si="0"/>
        <v>78601989</v>
      </c>
    </row>
    <row r="40" spans="1:7" x14ac:dyDescent="0.2">
      <c r="A40" s="9">
        <v>32</v>
      </c>
      <c r="B40" s="10">
        <v>45757</v>
      </c>
      <c r="C40" s="11">
        <v>15994000</v>
      </c>
      <c r="D40" s="11">
        <f t="shared" si="1"/>
        <v>454259</v>
      </c>
      <c r="E40" s="14">
        <v>15539741</v>
      </c>
      <c r="F40" s="12">
        <f t="shared" si="0"/>
        <v>63062248</v>
      </c>
    </row>
    <row r="41" spans="1:7" x14ac:dyDescent="0.2">
      <c r="A41" s="9">
        <v>33</v>
      </c>
      <c r="B41" s="10">
        <v>45784</v>
      </c>
      <c r="C41" s="11">
        <v>15994000</v>
      </c>
      <c r="D41" s="11">
        <f t="shared" si="1"/>
        <v>364452</v>
      </c>
      <c r="E41" s="14">
        <v>15629548</v>
      </c>
      <c r="F41" s="12">
        <f t="shared" si="0"/>
        <v>47432700</v>
      </c>
    </row>
    <row r="42" spans="1:7" x14ac:dyDescent="0.2">
      <c r="A42" s="9">
        <v>34</v>
      </c>
      <c r="B42" s="10">
        <v>45821</v>
      </c>
      <c r="C42" s="11">
        <v>15994000</v>
      </c>
      <c r="D42" s="11">
        <f t="shared" si="1"/>
        <v>274124</v>
      </c>
      <c r="E42" s="14">
        <v>15719876</v>
      </c>
      <c r="F42" s="12">
        <f t="shared" si="0"/>
        <v>31712824</v>
      </c>
    </row>
    <row r="43" spans="1:7" x14ac:dyDescent="0.2">
      <c r="A43" s="9">
        <v>35</v>
      </c>
      <c r="B43" s="10">
        <v>45847</v>
      </c>
      <c r="C43" s="11">
        <v>15994000</v>
      </c>
      <c r="D43" s="11">
        <f t="shared" si="1"/>
        <v>183276</v>
      </c>
      <c r="E43" s="14">
        <v>15810724</v>
      </c>
      <c r="F43" s="12">
        <f t="shared" si="0"/>
        <v>15902100</v>
      </c>
    </row>
    <row r="44" spans="1:7" ht="13.5" thickBot="1" x14ac:dyDescent="0.25">
      <c r="A44" s="15">
        <v>36</v>
      </c>
      <c r="B44" s="10">
        <v>45877</v>
      </c>
      <c r="C44" s="16">
        <v>15994000</v>
      </c>
      <c r="D44" s="16">
        <f t="shared" si="1"/>
        <v>91900</v>
      </c>
      <c r="E44" s="17">
        <v>15902100</v>
      </c>
      <c r="F44" s="18">
        <f t="shared" si="0"/>
        <v>0</v>
      </c>
      <c r="G44" s="2">
        <f>SUM(E37:E44)</f>
        <v>124687508</v>
      </c>
    </row>
    <row r="45" spans="1:7" ht="13.5" thickBot="1" x14ac:dyDescent="0.25">
      <c r="A45" s="19"/>
      <c r="B45" s="20"/>
      <c r="C45" s="21">
        <f>SUM(C9:C44)</f>
        <v>575784000</v>
      </c>
      <c r="D45" s="21">
        <f>SUM(D9:D44)</f>
        <v>54300175</v>
      </c>
      <c r="E45" s="21">
        <f>SUM(E9:E44)</f>
        <v>521483825</v>
      </c>
      <c r="F45" s="22"/>
      <c r="G45" s="2">
        <f>Zenix!G32</f>
        <v>163875378</v>
      </c>
    </row>
    <row r="46" spans="1:7" ht="13.5" thickTop="1" x14ac:dyDescent="0.2">
      <c r="G46" s="2">
        <f>SUM(G44:G45)</f>
        <v>288562886</v>
      </c>
    </row>
  </sheetData>
  <mergeCells count="4">
    <mergeCell ref="A6:A7"/>
    <mergeCell ref="B6:B7"/>
    <mergeCell ref="C6:E6"/>
    <mergeCell ref="F6:F7"/>
  </mergeCells>
  <pageMargins left="0.7" right="0.7" top="0.75" bottom="0.75" header="0.3" footer="0.3"/>
  <pageSetup paperSize="9" scale="83" orientation="portrait" r:id="rId1"/>
  <ignoredErrors>
    <ignoredError sqref="G4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B843-D130-4317-8D71-DD6E0D32AD49}">
  <dimension ref="A1:H34"/>
  <sheetViews>
    <sheetView tabSelected="1" topLeftCell="A7" workbookViewId="0">
      <selection activeCell="I13" sqref="I13"/>
    </sheetView>
  </sheetViews>
  <sheetFormatPr defaultColWidth="9.140625" defaultRowHeight="12.75" x14ac:dyDescent="0.2"/>
  <cols>
    <col min="1" max="1" width="8.28515625" style="3" bestFit="1" customWidth="1"/>
    <col min="2" max="2" width="10.28515625" style="3" customWidth="1"/>
    <col min="3" max="3" width="14.5703125" style="2" bestFit="1" customWidth="1"/>
    <col min="4" max="4" width="13.5703125" style="2" bestFit="1" customWidth="1"/>
    <col min="5" max="5" width="14.5703125" style="2" bestFit="1" customWidth="1"/>
    <col min="6" max="6" width="16" style="2" bestFit="1" customWidth="1"/>
    <col min="7" max="9" width="14.5703125" style="2" bestFit="1" customWidth="1"/>
    <col min="10" max="16384" width="9.140625" style="2"/>
  </cols>
  <sheetData>
    <row r="1" spans="1:6" x14ac:dyDescent="0.2">
      <c r="A1" s="1" t="s">
        <v>0</v>
      </c>
      <c r="B1" s="1"/>
      <c r="C1" s="1" t="s">
        <v>15</v>
      </c>
    </row>
    <row r="2" spans="1:6" x14ac:dyDescent="0.2">
      <c r="A2" s="1" t="s">
        <v>2</v>
      </c>
      <c r="B2" s="1"/>
      <c r="C2" s="1" t="s">
        <v>16</v>
      </c>
    </row>
    <row r="3" spans="1:6" x14ac:dyDescent="0.2">
      <c r="A3" s="1" t="s">
        <v>4</v>
      </c>
      <c r="B3" s="1"/>
      <c r="C3" s="1" t="s">
        <v>17</v>
      </c>
    </row>
    <row r="4" spans="1:6" x14ac:dyDescent="0.2">
      <c r="A4" s="1" t="s">
        <v>6</v>
      </c>
      <c r="B4" s="1"/>
      <c r="C4" s="1" t="s">
        <v>18</v>
      </c>
    </row>
    <row r="5" spans="1:6" ht="13.5" thickBot="1" x14ac:dyDescent="0.25"/>
    <row r="6" spans="1:6" x14ac:dyDescent="0.2">
      <c r="A6" s="23" t="s">
        <v>8</v>
      </c>
      <c r="B6" s="25" t="s">
        <v>9</v>
      </c>
      <c r="C6" s="27" t="s">
        <v>10</v>
      </c>
      <c r="D6" s="27"/>
      <c r="E6" s="27"/>
      <c r="F6" s="28" t="s">
        <v>11</v>
      </c>
    </row>
    <row r="7" spans="1:6" ht="15.75" customHeight="1" thickBot="1" x14ac:dyDescent="0.25">
      <c r="A7" s="24"/>
      <c r="B7" s="26"/>
      <c r="C7" s="4" t="s">
        <v>12</v>
      </c>
      <c r="D7" s="4" t="s">
        <v>13</v>
      </c>
      <c r="E7" s="4" t="s">
        <v>14</v>
      </c>
      <c r="F7" s="29"/>
    </row>
    <row r="8" spans="1:6" x14ac:dyDescent="0.2">
      <c r="A8" s="5"/>
      <c r="B8" s="6"/>
      <c r="C8" s="7"/>
      <c r="D8" s="7"/>
      <c r="E8" s="7"/>
      <c r="F8" s="8">
        <v>339839360</v>
      </c>
    </row>
    <row r="9" spans="1:6" x14ac:dyDescent="0.2">
      <c r="A9" s="9">
        <v>1</v>
      </c>
      <c r="B9" s="10">
        <v>45593</v>
      </c>
      <c r="C9" s="11">
        <v>15340000</v>
      </c>
      <c r="D9" s="11">
        <v>0</v>
      </c>
      <c r="E9" s="11">
        <f>C9</f>
        <v>15340000</v>
      </c>
      <c r="F9" s="12">
        <f>F8-E9</f>
        <v>324499360</v>
      </c>
    </row>
    <row r="10" spans="1:6" x14ac:dyDescent="0.2">
      <c r="A10" s="9">
        <v>2</v>
      </c>
      <c r="B10" s="10">
        <v>45639</v>
      </c>
      <c r="C10" s="11">
        <v>15340000</v>
      </c>
      <c r="D10" s="11">
        <f>C10-E10</f>
        <v>2300489</v>
      </c>
      <c r="E10" s="11">
        <v>13039511</v>
      </c>
      <c r="F10" s="12">
        <f t="shared" ref="F10:F32" si="0">F9-E10</f>
        <v>311459849</v>
      </c>
    </row>
    <row r="11" spans="1:6" x14ac:dyDescent="0.2">
      <c r="A11" s="9">
        <v>3</v>
      </c>
      <c r="B11" s="10">
        <v>45670</v>
      </c>
      <c r="C11" s="11">
        <v>15340000</v>
      </c>
      <c r="D11" s="11">
        <f>C11-E11</f>
        <v>2208047</v>
      </c>
      <c r="E11" s="11">
        <v>13131953</v>
      </c>
      <c r="F11" s="12">
        <f t="shared" si="0"/>
        <v>298327896</v>
      </c>
    </row>
    <row r="12" spans="1:6" x14ac:dyDescent="0.2">
      <c r="A12" s="9">
        <v>4</v>
      </c>
      <c r="B12" s="10">
        <v>45701</v>
      </c>
      <c r="C12" s="11">
        <v>15340000</v>
      </c>
      <c r="D12" s="11">
        <f t="shared" ref="D12:D32" si="1">C12-E12</f>
        <v>2114950</v>
      </c>
      <c r="E12" s="11">
        <v>13225050</v>
      </c>
      <c r="F12" s="12">
        <f t="shared" si="0"/>
        <v>285102846</v>
      </c>
    </row>
    <row r="13" spans="1:6" x14ac:dyDescent="0.2">
      <c r="A13" s="9">
        <v>5</v>
      </c>
      <c r="B13" s="10">
        <v>45729</v>
      </c>
      <c r="C13" s="11">
        <v>15340000</v>
      </c>
      <c r="D13" s="11">
        <f t="shared" si="1"/>
        <v>2021193</v>
      </c>
      <c r="E13" s="11">
        <v>13318807</v>
      </c>
      <c r="F13" s="12">
        <f t="shared" si="0"/>
        <v>271784039</v>
      </c>
    </row>
    <row r="14" spans="1:6" x14ac:dyDescent="0.2">
      <c r="A14" s="9">
        <v>6</v>
      </c>
      <c r="B14" s="10">
        <v>45760</v>
      </c>
      <c r="C14" s="11">
        <v>15340000</v>
      </c>
      <c r="D14" s="11">
        <f t="shared" si="1"/>
        <v>1926772</v>
      </c>
      <c r="E14" s="11">
        <v>13413228</v>
      </c>
      <c r="F14" s="12">
        <f t="shared" si="0"/>
        <v>258370811</v>
      </c>
    </row>
    <row r="15" spans="1:6" x14ac:dyDescent="0.2">
      <c r="A15" s="9">
        <v>7</v>
      </c>
      <c r="B15" s="10">
        <v>45790</v>
      </c>
      <c r="C15" s="11">
        <v>15340000</v>
      </c>
      <c r="D15" s="11">
        <f t="shared" si="1"/>
        <v>1831681</v>
      </c>
      <c r="E15" s="11">
        <v>13508319</v>
      </c>
      <c r="F15" s="12">
        <f t="shared" si="0"/>
        <v>244862492</v>
      </c>
    </row>
    <row r="16" spans="1:6" x14ac:dyDescent="0.2">
      <c r="A16" s="9">
        <v>8</v>
      </c>
      <c r="B16" s="10">
        <v>45821</v>
      </c>
      <c r="C16" s="11">
        <v>15340000</v>
      </c>
      <c r="D16" s="11">
        <f t="shared" si="1"/>
        <v>1735915</v>
      </c>
      <c r="E16" s="11">
        <v>13604085</v>
      </c>
      <c r="F16" s="12">
        <f t="shared" si="0"/>
        <v>231258407</v>
      </c>
    </row>
    <row r="17" spans="1:8" x14ac:dyDescent="0.2">
      <c r="A17" s="9">
        <v>9</v>
      </c>
      <c r="B17" s="10">
        <v>45861</v>
      </c>
      <c r="C17" s="11">
        <v>15340000</v>
      </c>
      <c r="D17" s="11">
        <f t="shared" si="1"/>
        <v>1639471</v>
      </c>
      <c r="E17" s="11">
        <v>13700529</v>
      </c>
      <c r="F17" s="12">
        <f t="shared" si="0"/>
        <v>217557878</v>
      </c>
    </row>
    <row r="18" spans="1:8" x14ac:dyDescent="0.2">
      <c r="A18" s="9">
        <v>10</v>
      </c>
      <c r="B18" s="10">
        <v>45877</v>
      </c>
      <c r="C18" s="11">
        <v>15340000</v>
      </c>
      <c r="D18" s="11">
        <f t="shared" si="1"/>
        <v>1542343</v>
      </c>
      <c r="E18" s="11">
        <v>13797657</v>
      </c>
      <c r="F18" s="12">
        <f t="shared" si="0"/>
        <v>203760221</v>
      </c>
    </row>
    <row r="19" spans="1:8" x14ac:dyDescent="0.2">
      <c r="A19" s="9">
        <v>11</v>
      </c>
      <c r="B19" s="10">
        <v>45904</v>
      </c>
      <c r="C19" s="11">
        <v>15340000</v>
      </c>
      <c r="D19" s="11">
        <f t="shared" si="1"/>
        <v>1444527</v>
      </c>
      <c r="E19" s="11">
        <v>13895473</v>
      </c>
      <c r="F19" s="12">
        <f t="shared" si="0"/>
        <v>189864748</v>
      </c>
    </row>
    <row r="20" spans="1:8" x14ac:dyDescent="0.2">
      <c r="A20" s="9">
        <v>12</v>
      </c>
      <c r="B20" s="10">
        <v>45932</v>
      </c>
      <c r="C20" s="11">
        <v>15340000</v>
      </c>
      <c r="D20" s="11">
        <f t="shared" si="1"/>
        <v>1346017</v>
      </c>
      <c r="E20" s="11">
        <v>13993983</v>
      </c>
      <c r="F20" s="12">
        <f t="shared" si="0"/>
        <v>175870765</v>
      </c>
    </row>
    <row r="21" spans="1:8" x14ac:dyDescent="0.2">
      <c r="A21" s="9">
        <v>13</v>
      </c>
      <c r="B21" s="10">
        <v>45967</v>
      </c>
      <c r="C21" s="11">
        <v>15340000</v>
      </c>
      <c r="D21" s="11">
        <f t="shared" si="1"/>
        <v>1246809</v>
      </c>
      <c r="E21" s="11">
        <v>14093191</v>
      </c>
      <c r="F21" s="12">
        <f t="shared" si="0"/>
        <v>161777574</v>
      </c>
    </row>
    <row r="22" spans="1:8" x14ac:dyDescent="0.2">
      <c r="A22" s="9">
        <v>14</v>
      </c>
      <c r="B22" s="10">
        <v>45996</v>
      </c>
      <c r="C22" s="11">
        <v>15340000</v>
      </c>
      <c r="D22" s="11">
        <f t="shared" si="1"/>
        <v>1146897</v>
      </c>
      <c r="E22" s="11">
        <v>14193103</v>
      </c>
      <c r="F22" s="12">
        <f t="shared" si="0"/>
        <v>147584471</v>
      </c>
    </row>
    <row r="23" spans="1:8" x14ac:dyDescent="0.2">
      <c r="A23" s="9">
        <v>15</v>
      </c>
      <c r="B23" s="10"/>
      <c r="C23" s="11">
        <v>15340000</v>
      </c>
      <c r="D23" s="11">
        <f t="shared" si="1"/>
        <v>1046277</v>
      </c>
      <c r="E23" s="11">
        <v>14293723</v>
      </c>
      <c r="F23" s="12">
        <f t="shared" si="0"/>
        <v>133290748</v>
      </c>
    </row>
    <row r="24" spans="1:8" x14ac:dyDescent="0.2">
      <c r="A24" s="9">
        <v>16</v>
      </c>
      <c r="B24" s="10"/>
      <c r="C24" s="11">
        <v>15340000</v>
      </c>
      <c r="D24" s="11">
        <f t="shared" si="1"/>
        <v>944944</v>
      </c>
      <c r="E24" s="11">
        <v>14395056</v>
      </c>
      <c r="F24" s="12">
        <f t="shared" si="0"/>
        <v>118895692</v>
      </c>
      <c r="H24" s="13"/>
    </row>
    <row r="25" spans="1:8" x14ac:dyDescent="0.2">
      <c r="A25" s="9">
        <v>17</v>
      </c>
      <c r="B25" s="10"/>
      <c r="C25" s="11">
        <v>15340000</v>
      </c>
      <c r="D25" s="11">
        <f t="shared" si="1"/>
        <v>842893</v>
      </c>
      <c r="E25" s="11">
        <v>14497107</v>
      </c>
      <c r="F25" s="12">
        <f t="shared" si="0"/>
        <v>104398585</v>
      </c>
    </row>
    <row r="26" spans="1:8" x14ac:dyDescent="0.2">
      <c r="A26" s="9">
        <v>18</v>
      </c>
      <c r="B26" s="10"/>
      <c r="C26" s="11">
        <v>15340000</v>
      </c>
      <c r="D26" s="11">
        <f t="shared" si="1"/>
        <v>740118</v>
      </c>
      <c r="E26" s="11">
        <v>14599882</v>
      </c>
      <c r="F26" s="12">
        <f t="shared" si="0"/>
        <v>89798703</v>
      </c>
    </row>
    <row r="27" spans="1:8" x14ac:dyDescent="0.2">
      <c r="A27" s="9">
        <v>19</v>
      </c>
      <c r="B27" s="10"/>
      <c r="C27" s="11">
        <v>15340000</v>
      </c>
      <c r="D27" s="11">
        <f t="shared" si="1"/>
        <v>636614</v>
      </c>
      <c r="E27" s="11">
        <v>14703386</v>
      </c>
      <c r="F27" s="12">
        <f t="shared" si="0"/>
        <v>75095317</v>
      </c>
    </row>
    <row r="28" spans="1:8" x14ac:dyDescent="0.2">
      <c r="A28" s="9">
        <v>20</v>
      </c>
      <c r="B28" s="10"/>
      <c r="C28" s="11">
        <v>15340000</v>
      </c>
      <c r="D28" s="11">
        <f t="shared" si="1"/>
        <v>532376</v>
      </c>
      <c r="E28" s="11">
        <v>14807624</v>
      </c>
      <c r="F28" s="12">
        <f t="shared" si="0"/>
        <v>60287693</v>
      </c>
    </row>
    <row r="29" spans="1:8" x14ac:dyDescent="0.2">
      <c r="A29" s="9">
        <v>21</v>
      </c>
      <c r="B29" s="10"/>
      <c r="C29" s="11">
        <v>15340000</v>
      </c>
      <c r="D29" s="11">
        <f t="shared" si="1"/>
        <v>427400</v>
      </c>
      <c r="E29" s="11">
        <v>14912600</v>
      </c>
      <c r="F29" s="12">
        <f t="shared" si="0"/>
        <v>45375093</v>
      </c>
    </row>
    <row r="30" spans="1:8" x14ac:dyDescent="0.2">
      <c r="A30" s="9">
        <v>22</v>
      </c>
      <c r="B30" s="10"/>
      <c r="C30" s="11">
        <v>15340000</v>
      </c>
      <c r="D30" s="11">
        <f t="shared" si="1"/>
        <v>321679</v>
      </c>
      <c r="E30" s="11">
        <v>15018321</v>
      </c>
      <c r="F30" s="12">
        <f t="shared" si="0"/>
        <v>30356772</v>
      </c>
    </row>
    <row r="31" spans="1:8" x14ac:dyDescent="0.2">
      <c r="A31" s="9">
        <v>23</v>
      </c>
      <c r="B31" s="10"/>
      <c r="C31" s="11">
        <v>15340000</v>
      </c>
      <c r="D31" s="11">
        <f t="shared" si="1"/>
        <v>215209</v>
      </c>
      <c r="E31" s="11">
        <v>15124791</v>
      </c>
      <c r="F31" s="12">
        <f t="shared" si="0"/>
        <v>15231981</v>
      </c>
    </row>
    <row r="32" spans="1:8" ht="13.5" thickBot="1" x14ac:dyDescent="0.25">
      <c r="A32" s="9">
        <v>24</v>
      </c>
      <c r="B32" s="10"/>
      <c r="C32" s="11">
        <v>15340000</v>
      </c>
      <c r="D32" s="11">
        <f t="shared" si="1"/>
        <v>108019</v>
      </c>
      <c r="E32" s="11">
        <v>15231981</v>
      </c>
      <c r="F32" s="12">
        <f t="shared" si="0"/>
        <v>0</v>
      </c>
      <c r="G32" s="2">
        <f>SUM(E11:E22)</f>
        <v>163875378</v>
      </c>
      <c r="H32" s="2">
        <f>SUM(E23:E32)</f>
        <v>147584471</v>
      </c>
    </row>
    <row r="33" spans="1:6" ht="13.5" thickBot="1" x14ac:dyDescent="0.25">
      <c r="A33" s="19"/>
      <c r="B33" s="20"/>
      <c r="C33" s="21">
        <f>SUM(C9:C32)</f>
        <v>368160000</v>
      </c>
      <c r="D33" s="21">
        <f>SUM(D9:D32)</f>
        <v>28320640</v>
      </c>
      <c r="E33" s="21">
        <f>SUM(E9:E32)</f>
        <v>339839360</v>
      </c>
      <c r="F33" s="22"/>
    </row>
    <row r="34" spans="1:6" ht="13.5" thickTop="1" x14ac:dyDescent="0.2"/>
  </sheetData>
  <mergeCells count="4">
    <mergeCell ref="A6:A7"/>
    <mergeCell ref="B6:B7"/>
    <mergeCell ref="C6:E6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Camry</vt:lpstr>
      <vt:lpstr>Zenix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EJP</dc:creator>
  <cp:lastModifiedBy>Unti Murafifah</cp:lastModifiedBy>
  <dcterms:created xsi:type="dcterms:W3CDTF">2015-06-05T18:17:20Z</dcterms:created>
  <dcterms:modified xsi:type="dcterms:W3CDTF">2026-03-02T03:41:15Z</dcterms:modified>
</cp:coreProperties>
</file>